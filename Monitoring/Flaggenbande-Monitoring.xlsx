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mainzde-my.sharepoint.com/personal/philipp_raemer_students_hs-mainz_de/Documents/"/>
    </mc:Choice>
  </mc:AlternateContent>
  <xr:revisionPtr revIDLastSave="0" documentId="8_{8A14D191-DBD7-AA4B-A5E2-1431394A3D22}" xr6:coauthVersionLast="47" xr6:coauthVersionMax="47" xr10:uidLastSave="{00000000-0000-0000-0000-000000000000}"/>
  <bookViews>
    <workbookView xWindow="0" yWindow="600" windowWidth="38400" windowHeight="21000" xr2:uid="{50CF2061-14D5-1E4E-96B6-A290E5A248F7}"/>
  </bookViews>
  <sheets>
    <sheet name="Dashboard" sheetId="1" r:id="rId1"/>
    <sheet name="To-dos" sheetId="2" r:id="rId2"/>
    <sheet name="Tagebuch" sheetId="3" r:id="rId3"/>
    <sheet name="App Store Feedback" sheetId="4" r:id="rId4"/>
    <sheet name="App Store Metric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B12" i="1"/>
  <c r="B11" i="1"/>
  <c r="B10" i="1"/>
  <c r="B9" i="1"/>
  <c r="B8" i="1"/>
  <c r="E4" i="1"/>
  <c r="B4" i="1"/>
</calcChain>
</file>

<file path=xl/sharedStrings.xml><?xml version="1.0" encoding="utf-8"?>
<sst xmlns="http://schemas.openxmlformats.org/spreadsheetml/2006/main" count="221" uniqueCount="131">
  <si>
    <t>App Store Kennzahlen</t>
  </si>
  <si>
    <t>Tägliche Werte ab Veröffentlichung aus App Store Connect erfassen. Leere Felder bedeuten: noch nicht verfügbar.</t>
  </si>
  <si>
    <t>Datum</t>
  </si>
  <si>
    <t>Downloads</t>
  </si>
  <si>
    <t>Impressions</t>
  </si>
  <si>
    <t>Produktseiten-Aufrufe</t>
  </si>
  <si>
    <t>Conversion Rate</t>
  </si>
  <si>
    <t>Sessions</t>
  </si>
  <si>
    <t>Aktive Geräte</t>
  </si>
  <si>
    <t>Crashes</t>
  </si>
  <si>
    <t>Crash-free Rate</t>
  </si>
  <si>
    <t>Umsatz</t>
  </si>
  <si>
    <t>Ø Bewertung</t>
  </si>
  <si>
    <t>Neue Reviews</t>
  </si>
  <si>
    <t>Ausstehend</t>
  </si>
  <si>
    <t>App Store Feedback</t>
  </si>
  <si>
    <t>Erste Einträge nach Veröffentlichung der App ergänzen. Quelle: App Store Connect.</t>
  </si>
  <si>
    <t>Bewertung</t>
  </si>
  <si>
    <t>Land</t>
  </si>
  <si>
    <t>Version</t>
  </si>
  <si>
    <t>Kategorie</t>
  </si>
  <si>
    <t>Feedback</t>
  </si>
  <si>
    <t>Status</t>
  </si>
  <si>
    <t>Antwort / Nächster Schritt</t>
  </si>
  <si>
    <t>Flaggenbande – Tagebuch</t>
  </si>
  <si>
    <t>Quellstand aus „Zoom bug“</t>
  </si>
  <si>
    <t>Änderungen</t>
  </si>
  <si>
    <t>Build-Status / Quelle</t>
  </si>
  <si>
    <t>12.06.2026</t>
  </si>
  <si>
    <t>Basisstand der App angelegt. Flaggen-/Hauptstadttraining, Showmaster, Tipps, Aussprache/Lautschrift, Suche, Achievements sowie das Ligasystem mit intelligenter Namenserkennung sind im Code nachweisbar. England/UK, Belarus/Weißrussland und San Marino werden berücksichtigt.</t>
  </si>
  <si>
    <t>Tagebuch</t>
  </si>
  <si>
    <t>21.06.2026</t>
  </si>
  <si>
    <t>Online- und Flaggenrun-Stand gesichert und größere Überarbeitung der zugehörigen Logik vorgenommen.</t>
  </si>
  <si>
    <t>24.06.2026</t>
  </si>
  <si>
    <t>App-Modi und Statistikoberfläche poliert. Training und Statistikgraphen überarbeitet, Globus-/Suchfunktionen erweitert und Eswatini (Swasiland) aktualisiert.</t>
  </si>
  <si>
    <t>25.06.2026</t>
  </si>
  <si>
    <t>Große Aufteilung der zuvor sehr umfangreichen ContentView in spezialisierte Swift-Dateien. Zusätzlich Online-Statistikverläufe und Diagramme ergänzt.</t>
  </si>
  <si>
    <t>03.07.2026</t>
  </si>
  <si>
    <t>Build 3 vorbereitet. Kompakte/adaptive Oberflächen, Showmaster-Darstellung, Globus-Verknüpfungen und weitere UI-Verbesserungen ergänzt; Zoom im Showmaster deaktiviert.</t>
  </si>
  <si>
    <t>04.07.2026</t>
  </si>
  <si>
    <t>StoreKit-/Vollversionsablauf mehrfach überarbeitet und repariert. Übungsrückblick und Release-Konfiguration weiterentwickelt.</t>
  </si>
  <si>
    <t>07.07.2026</t>
  </si>
  <si>
    <t>TestFlight- und Premium-Handling vorbereitet. App-Konfiguration, Speicherung, Üben/Showmaster, Statistik, Flaggenkatalog, Globus und StoreKit umfangreich überarbeitet.</t>
  </si>
  <si>
    <t>09.07.2026</t>
  </si>
  <si>
    <t>Neue lokale Entwicklung begonnen: Back-Swipe-Navigation, Anfänger-Modus und Daily-Flaggenrun-Service angelegt.</t>
  </si>
  <si>
    <t>10.07.2026</t>
  </si>
  <si>
    <t>Statistik-/Globusansichten, Online-Overlays und StoreKit weiter angepasst.</t>
  </si>
  <si>
    <t>12.07.2026</t>
  </si>
  <si>
    <t>Online-Ranglisten, Achievements, Datenschutzmanifest, Lokalisierung, App-Start, Cloud-/Onlinespeicherung und Daily-Flaggenrun-Service erweitert.</t>
  </si>
  <si>
    <t>13.07.2026</t>
  </si>
  <si>
    <t>Anfänger- und Endlosmodus fertig ausgebaut, Übungs-/Showmaster-Verlauf verbessert, Rücknavigation stabilisiert und Ligasystem deutlich erweitert.</t>
  </si>
  <si>
    <t>14.07.2026</t>
  </si>
  <si>
    <t>Globus und gemeinsame Oberflächen überarbeitet. Zoom-Overlay, Rückanimation, Größenbegrenzung und Globusfokus aus Verlaufsansichten stabilisiert.</t>
  </si>
  <si>
    <t>Prüflauf 16.07.2026</t>
  </si>
  <si>
    <t>Apple-Notiz mit Git-Historie, aktuellem Arbeitsstand und Quellcode abgeglichen. Der aktuelle Debug-Build für den iOS-Simulator kompiliert erfolgreich. Noch offene oder nur durch Laufzeittests beweisbare Punkte wurden bewusst nicht als erledigt markiert.</t>
  </si>
  <si>
    <t>Debug-Build erfolgreich</t>
  </si>
  <si>
    <t>Flaggenbande – To-dos</t>
  </si>
  <si>
    <t>Quelle: Apple-Notiz „Zoom bug“ · Stand 17.07.2026</t>
  </si>
  <si>
    <t>ID</t>
  </si>
  <si>
    <t>To-do</t>
  </si>
  <si>
    <t>Erledigt am</t>
  </si>
  <si>
    <t>Umsetzung / Nachweis</t>
  </si>
  <si>
    <t>Aussprache voice clips</t>
  </si>
  <si>
    <t>Online lädt sehr langsam</t>
  </si>
  <si>
    <t>Achievements öffnen lagg</t>
  </si>
  <si>
    <t>Akzentfarben hinter achievements</t>
  </si>
  <si>
    <t>Lang nich mehr gespielt ändern</t>
  </si>
  <si>
    <t>Globus</t>
  </si>
  <si>
    <t>vibration beim starten fix</t>
  </si>
  <si>
    <t>Tips überarbeiten</t>
  </si>
  <si>
    <t>zeigen auf globus</t>
  </si>
  <si>
    <t>S+ ranking</t>
  </si>
  <si>
    <t>Flaggen offline</t>
  </si>
  <si>
    <t>Hymnen raten -</t>
  </si>
  <si>
    <t>Pvp mode</t>
  </si>
  <si>
    <t>stadtstaaten nicht in den haupstädten</t>
  </si>
  <si>
    <t>f auf D farbe ändern</t>
  </si>
  <si>
    <t>hinterlegen eindeutiger</t>
  </si>
  <si>
    <t>dann nicht mehr rechts swipen</t>
  </si>
  <si>
    <t>auf kleinen handys testen</t>
  </si>
  <si>
    <t>Flaggenrun: dominica, kongo, schweiz, turkmenistan, pakistan, tunesien, nigeria</t>
  </si>
  <si>
    <t>Showmaster Speicher überarbeiten</t>
  </si>
  <si>
    <t>Countdown flaggenrun fixen</t>
  </si>
  <si>
    <t>Erledigt</t>
  </si>
  <si>
    <t>✅ Zoom bug — Erledigt am: 14.07.2026 · Pinch-Zoom stabilisiert, Rückanimation und Aufräumen des Zoom-Overlays abgesichert.</t>
  </si>
  <si>
    <t>✅ Swipen nach rechts — Erledigt am: 13.07.2026 · eigener Back-Swipe-Controller für die Navigation umgesetzt.</t>
  </si>
  <si>
    <t>✅ Info — Erledigt am: 24.06.2026 · kontextbezogene Infotexte für Bereiche und Spielmodi ergänzt.</t>
  </si>
  <si>
    <t>✅ Showmaster nicht zoomen — Erledigt am: 03.07.2026 · Flaggenbilder im Showmaster verwenden deaktiviertes Zoomen.</t>
  </si>
  <si>
    <t>✅ England — Erledigt am: 12.06.2026 · England/UK/Großbritannien werden bei der Namenserkennung berücksichtigt.</t>
  </si>
  <si>
    <t>✅ Rückblick beim üben — Erledigt am: 04.07.2026 · Session-Rückblick mit Änderungen und Detailvorschau vorhanden.</t>
  </si>
  <si>
    <t>✅ Zoom geht nur auf — Erledigt am: 14.07.2026 · Zoom kehrt animiert und zuverlässig zur Ausgangsgröße zurück.</t>
  </si>
  <si>
    <t>✅ skalierung falsch bei kleinen iphones — Erledigt am: 03.07.2026 · adaptive Layouts und Mindestskalierung für kompakte Displays ergänzt; echter Gerätetest bleibt separat sinnvoll.</t>
  </si>
  <si>
    <t>✅ Blutiger anfänger modus — Erledigt am: 13.07.2026 · eigener Anfänger-Modus mit vier Antworten, Richtungen, Limits, Statistiken und Achievements umgesetzt.</t>
  </si>
  <si>
    <t>✅ bei showmaster richtig oder falsch — Erledigt am: 12.06.2026 · Antworten werden als gewusst/nicht gewusst erfasst und im Verlauf dargestellt.</t>
  </si>
  <si>
    <t>✅ Tipp bei hauptdtädten — Erledigt am: 12.06.2026 · Tipp nennt Anfangsbuchstaben der Hauptstadt und Kontinent des Landes.</t>
  </si>
  <si>
    <t>✅ San marino hauptstadt — Erledigt am: 12.06.2026 · San Marino ist mit der Hauptstadt San Marino hinterlegt.</t>
  </si>
  <si>
    <t>✅ Zeigen auf globus fixen — Erledigt am: 14.07.2026 · Länder aus Übungs- und Showmaster-Verlauf können gezielt auf dem Globus geöffnet werden.</t>
  </si>
  <si>
    <t>✅ Zoomen — Erledigt am: 14.07.2026 · Zoom-Interaktion mit begrenzter Skalierung und sauberem Zurücksetzen umgesetzt.</t>
  </si>
  <si>
    <t>✅ graph bei statistik ändern — Erledigt am: 24.06.2026 · Trainings- und Statistikgraphen grundlegend überarbeitet.</t>
  </si>
  <si>
    <t>✅ Aussprache — Erledigt am: 12.06.2026 · Aussprache-/Lautschrift-Daten für Hauptstädte werden angezeigt; Voice-Clips sind davon getrennt und noch offen.</t>
  </si>
  <si>
    <t>✅ Suchfunktion — Erledigt am: 12.06.2026 · Suche in Statistik und Globus nach Land, Hauptstadt, Kontinent oder Code vorhanden.</t>
  </si>
  <si>
    <t>✅ Swasiland — Erledigt am: 24.06.2026 · Eintrag auf „Eswatini (Swasiland)“ aktualisiert.</t>
  </si>
  <si>
    <t>✅ Ligasystem mit ranks — Erledigt am: 12.06.2026 · Ligasystem, Punkte, Ranglisten und intelligente Namenserkennung vorhanden.</t>
  </si>
  <si>
    <t>✅ lautschrift unter den hauptstädten — Erledigt am: 12.06.2026 · Lautschrift wird direkt unter Hauptstädten angezeigt.</t>
  </si>
  <si>
    <t>✅ achievements länger einblenden — Erledigt am: 12.06.2026 · Achievement-Popup bleibt fünf Sekunden sichtbar.</t>
  </si>
  <si>
    <t>✅ achievement 10 flaggen gewusst, 10 hauptstädte gewusst — Erledigt am: 12.06.2026 · Achievement „Zehn sicher“ arbeitet getrennt für Flaggen und Hauptstädte.</t>
  </si>
  <si>
    <t>✅ tipp funktion anfangsbuchstabe und kontinent — Erledigt am: 12.06.2026 · für Länder und Hauptstädte umgesetzt.</t>
  </si>
  <si>
    <t>✅ weißrussland bzw belarus — Erledigt am: 12.06.2026 · Belarus sowie Weißrussland/Weissrussland werden akzeptiert.</t>
  </si>
  <si>
    <t>✅ globus auf stufen tippen — Erledigt am: 24.06.2026 · Lernstufen werden farblich dargestellt; Länder sind antipp- und fokussierbar.</t>
  </si>
  <si>
    <t>✅ Endlos klappt im anfänger modus — Erledigt am: 13.07.2026 · Endlosmodus läuft bis zum manuellen Beenden.</t>
  </si>
  <si>
    <t>Flaggenbande – Launch &amp; Produktstatus</t>
  </si>
  <si>
    <t>Stand: 17.07.2026 · To-dos und Tagebuch aus Apple-Notiz „Zoom bug“ · App Store-Daten werden nach Veröffentlichung ergänzt.</t>
  </si>
  <si>
    <t>Offene To-dos</t>
  </si>
  <si>
    <t>Erledigte To-dos</t>
  </si>
  <si>
    <t>App Store Status</t>
  </si>
  <si>
    <t>Kennzahl</t>
  </si>
  <si>
    <t>Aktuell</t>
  </si>
  <si>
    <t>Hinweis</t>
  </si>
  <si>
    <t>Tägliche Downloads nach Launch</t>
  </si>
  <si>
    <t>Sichtbarkeit im App Store</t>
  </si>
  <si>
    <t>Interesse an der Produktseite</t>
  </si>
  <si>
    <t>Einzelne Reviews im Feedback-Blatt bearbeiten</t>
  </si>
  <si>
    <t>Neue Bewertungen und Rückmeldungen</t>
  </si>
  <si>
    <t>Nächster Schritt</t>
  </si>
  <si>
    <t>Nach Livegang Kennzahlen und Feedback aus App Store Connect eintragen; Dashboard aktualisiert sich automatisch.</t>
  </si>
  <si>
    <t>Verworfen</t>
  </si>
  <si>
    <t>Verworfene To-dos</t>
  </si>
  <si>
    <t>Live</t>
  </si>
  <si>
    <t>Daten noch nicht verfügbar</t>
  </si>
  <si>
    <t>Noch keine Bewertungen in App Store Connect erfasst.</t>
  </si>
  <si>
    <t>Daten ausstehend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</si>
</sst>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mbriaMath"/>
      <family val="2"/>
    </font>
    <font>
      <b/>
      <sz val="16"/>
      <color rgb="FFFFFFFF"/>
      <name val="CambriaMath"/>
      <family val="2"/>
    </font>
    <font>
      <b/>
      <sz val="12"/>
      <color rgb="FFFFFFFF"/>
      <name val="CambriaMath"/>
      <family val="2"/>
    </font>
    <font>
      <b/>
      <sz val="18"/>
      <color rgb="FFFFFFFF"/>
      <name val="Aptos"/>
    </font>
    <font>
      <sz val="12"/>
      <color theme="1"/>
      <name val="Aptos"/>
    </font>
    <font>
      <b/>
      <sz val="12"/>
      <color rgb="FFFFFFFF"/>
      <name val="Aptos"/>
    </font>
    <font>
      <b/>
      <sz val="16"/>
      <color theme="1"/>
      <name val="Aptos"/>
    </font>
    <font>
      <b/>
      <sz val="12"/>
      <color theme="1"/>
      <name val="Aptos"/>
    </font>
  </fonts>
  <fills count="9">
    <fill>
      <patternFill patternType="none"/>
    </fill>
    <fill>
      <patternFill patternType="gray125"/>
    </fill>
    <fill>
      <patternFill patternType="solid">
        <fgColor rgb="FF132238"/>
        <bgColor indexed="64"/>
      </patternFill>
    </fill>
    <fill>
      <patternFill patternType="solid">
        <fgColor rgb="FFE88B59"/>
        <bgColor indexed="64"/>
      </patternFill>
    </fill>
    <fill>
      <patternFill patternType="solid">
        <fgColor rgb="FFFFF3EC"/>
        <bgColor indexed="64"/>
      </patternFill>
    </fill>
    <fill>
      <patternFill patternType="solid">
        <fgColor rgb="FF4CA47A"/>
        <bgColor indexed="64"/>
      </patternFill>
    </fill>
    <fill>
      <patternFill patternType="solid">
        <fgColor rgb="FFEEF8F1"/>
        <bgColor indexed="64"/>
      </patternFill>
    </fill>
    <fill>
      <patternFill patternType="solid">
        <fgColor rgb="FF4E78B8"/>
        <bgColor indexed="64"/>
      </patternFill>
    </fill>
    <fill>
      <patternFill patternType="solid">
        <fgColor rgb="FFEEF4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4E78B8"/>
      </bottom>
      <diagonal/>
    </border>
    <border>
      <left style="thin">
        <color rgb="FFD9E2F0"/>
      </left>
      <right/>
      <top/>
      <bottom style="thin">
        <color rgb="FFD9E2F0"/>
      </bottom>
      <diagonal/>
    </border>
    <border>
      <left style="thin">
        <color rgb="FFD9E2F0"/>
      </left>
      <right style="thin">
        <color rgb="FFD9E2F0"/>
      </right>
      <top/>
      <bottom style="thin">
        <color rgb="FFD9E2F0"/>
      </bottom>
      <diagonal/>
    </border>
    <border>
      <left/>
      <right/>
      <top/>
      <bottom style="thin">
        <color rgb="FFD9E2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0" xfId="0" applyFont="1" applyFill="1" applyBorder="1"/>
    <xf numFmtId="0" fontId="4" fillId="0" borderId="0" xfId="0" applyFont="1" applyBorder="1"/>
    <xf numFmtId="0" fontId="5" fillId="3" borderId="0" xfId="0" applyFont="1" applyFill="1" applyBorder="1" applyAlignment="1">
      <alignment horizontal="center"/>
    </xf>
    <xf numFmtId="1" fontId="6" fillId="4" borderId="0" xfId="0" applyNumberFormat="1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1" fontId="6" fillId="6" borderId="0" xfId="0" applyNumberFormat="1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/>
    </xf>
    <xf numFmtId="0" fontId="7" fillId="8" borderId="0" xfId="0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7" borderId="4" xfId="0" applyFont="1" applyFill="1" applyBorder="1"/>
    <xf numFmtId="0" fontId="4" fillId="8" borderId="4" xfId="0" applyFont="1" applyFill="1" applyBorder="1"/>
    <xf numFmtId="0" fontId="4" fillId="0" borderId="4" xfId="0" applyFont="1" applyBorder="1"/>
  </cellXfs>
  <cellStyles count="1">
    <cellStyle name="Standard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mbriaMath"/>
        <family val="2"/>
        <scheme val="none"/>
      </font>
      <fill>
        <patternFill patternType="solid">
          <fgColor indexed="64"/>
          <bgColor rgb="FF13223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9E2F0"/>
        </left>
        <right style="thin">
          <color rgb="FFD9E2F0"/>
        </right>
        <top/>
        <bottom/>
      </border>
    </dxf>
    <dxf>
      <border outline="0">
        <bottom style="thin">
          <color rgb="FFD9E2F0"/>
        </bottom>
      </border>
    </dxf>
    <dxf>
      <border outline="0">
        <top style="thin">
          <color rgb="FFD9E2F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mbriaMath"/>
        <family val="2"/>
        <scheme val="none"/>
      </font>
      <fill>
        <patternFill patternType="solid">
          <fgColor indexed="64"/>
          <bgColor rgb="FF13223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9E2F0"/>
        </left>
        <right style="thin">
          <color rgb="FFD9E2F0"/>
        </right>
        <top/>
        <bottom/>
      </border>
    </dxf>
    <dxf>
      <border outline="0">
        <bottom style="thin">
          <color rgb="FFD9E2F0"/>
        </bottom>
      </border>
    </dxf>
    <dxf>
      <border outline="0">
        <top style="thin">
          <color rgb="FFD9E2F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mbriaMath"/>
        <family val="2"/>
        <scheme val="none"/>
      </font>
      <fill>
        <patternFill patternType="solid">
          <fgColor indexed="64"/>
          <bgColor rgb="FF13223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9E2F0"/>
        </left>
        <right style="thin">
          <color rgb="FFD9E2F0"/>
        </right>
        <top/>
        <bottom/>
      </border>
    </dxf>
    <dxf>
      <border outline="0">
        <bottom style="thin">
          <color rgb="FFD9E2F0"/>
        </bottom>
      </border>
    </dxf>
    <dxf>
      <border outline="0">
        <top style="thin">
          <color rgb="FFD9E2F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mbriaMath"/>
        <family val="2"/>
        <scheme val="none"/>
      </font>
      <fill>
        <patternFill patternType="solid">
          <fgColor indexed="64"/>
          <bgColor rgb="FF13223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9E2F0"/>
        </left>
        <right style="thin">
          <color rgb="FFD9E2F0"/>
        </right>
        <top/>
        <bottom/>
      </border>
    </dxf>
    <dxf>
      <border outline="0">
        <bottom style="thin">
          <color rgb="FFD9E2F0"/>
        </bottom>
      </border>
    </dxf>
    <dxf>
      <border outline="0">
        <top style="thin">
          <color rgb="FFD9E2F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DA80E2-6FF7-0E47-B6E1-861222C2F828}" name="TodosTable" displayName="TodosTable" ref="A4:E51" totalsRowShown="0" headerRowDxfId="9" headerRowBorderDxfId="10" tableBorderDxfId="11">
  <autoFilter ref="A4:E51" xr:uid="{D4DA80E2-6FF7-0E47-B6E1-861222C2F828}"/>
  <tableColumns count="5">
    <tableColumn id="1" xr3:uid="{1F47382B-B111-F444-AAF0-7A70759D30CB}" name="ID"/>
    <tableColumn id="2" xr3:uid="{1C2C0F1F-F788-7F49-AFBC-919F73074FE3}" name="Status"/>
    <tableColumn id="3" xr3:uid="{0A93AB08-7EF2-5349-A3BD-81814600D04E}" name="To-do"/>
    <tableColumn id="4" xr3:uid="{CD5C953A-9F55-B14D-A460-526C0E0FF5BF}" name="Erledigt am"/>
    <tableColumn id="5" xr3:uid="{516858D9-B60C-8A48-B9AC-E21A2F0582DB}" name="Umsetzung / Nachwe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636D48-D7F3-7441-AF05-5718B76C8606}" name="DiaryTable" displayName="DiaryTable" ref="A4:C17" totalsRowShown="0" headerRowDxfId="6" headerRowBorderDxfId="7" tableBorderDxfId="8">
  <autoFilter ref="A4:C17" xr:uid="{D0636D48-D7F3-7441-AF05-5718B76C8606}"/>
  <tableColumns count="3">
    <tableColumn id="1" xr3:uid="{B1C2CB1B-1135-AA4D-954E-DBC5C93FA51C}" name="Datum"/>
    <tableColumn id="2" xr3:uid="{11BB2894-DB2B-5F47-8D29-7C9E117FB5CC}" name="Änderungen"/>
    <tableColumn id="3" xr3:uid="{8E070C54-F239-3946-B6A8-11F5E1772C81}" name="Build-Status / Quel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443B90-6586-6E46-AAE1-2E05DD10A459}" name="FeedbackTable" displayName="FeedbackTable" ref="A4:H5" totalsRowShown="0" headerRowDxfId="0" headerRowBorderDxfId="1" tableBorderDxfId="2">
  <autoFilter ref="A4:H5" xr:uid="{77443B90-6586-6E46-AAE1-2E05DD10A459}"/>
  <tableColumns count="8">
    <tableColumn id="1" xr3:uid="{50E85D0E-2EF5-254E-AB62-D7AF95460B27}" name="Datum"/>
    <tableColumn id="2" xr3:uid="{F85F5B14-196E-4342-9C25-54F837B64E2C}" name="Bewertung"/>
    <tableColumn id="3" xr3:uid="{A1768E60-F4DD-EF46-9C83-E0F9AD647E50}" name="Land"/>
    <tableColumn id="4" xr3:uid="{063F3FAE-8E21-8045-B7CD-267C09F53282}" name="Version"/>
    <tableColumn id="5" xr3:uid="{5A7E0A83-8CF3-104D-825A-7CF9277AC278}" name="Kategorie"/>
    <tableColumn id="6" xr3:uid="{170747B6-0EC5-0841-A393-CDB086509BA4}" name="Feedback"/>
    <tableColumn id="7" xr3:uid="{AEF1313F-29DE-EF4D-A45F-096F71971F1F}" name="Status"/>
    <tableColumn id="8" xr3:uid="{3609044E-B971-1849-B597-1440CFF117E8}" name="Antwort / Nächster Schritt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B5B60B-30F9-E541-A1AB-26A95C335F31}" name="MetricsTable" displayName="MetricsTable" ref="A4:L5" totalsRowShown="0" headerRowDxfId="3" headerRowBorderDxfId="4" tableBorderDxfId="5">
  <autoFilter ref="A4:L5" xr:uid="{F0B5B60B-30F9-E541-A1AB-26A95C335F31}"/>
  <tableColumns count="12">
    <tableColumn id="1" xr3:uid="{DFACADE8-192F-C942-B124-D6EE0C436E96}" name="Datum"/>
    <tableColumn id="2" xr3:uid="{6BA4E5C8-59E1-7A4F-9F94-B42AB73A56EB}" name="Downloads"/>
    <tableColumn id="3" xr3:uid="{5E7CFC31-22CD-8D4A-8433-F040860D9FCB}" name="Impressions"/>
    <tableColumn id="4" xr3:uid="{36D37146-56D5-D84D-95AA-F8328FBF88A6}" name="Produktseiten-Aufrufe"/>
    <tableColumn id="5" xr3:uid="{2E6B7A4E-BA32-F748-ACDF-CD0AE94850FF}" name="Conversion Rate"/>
    <tableColumn id="6" xr3:uid="{3218F7C6-4A71-E043-ABB6-892BBE8C14F3}" name="Sessions"/>
    <tableColumn id="7" xr3:uid="{BDB6ECBB-C992-144C-9B0D-B017E97C5A0E}" name="Aktive Geräte"/>
    <tableColumn id="8" xr3:uid="{FA535C3A-E47A-0E44-A530-5A0905F4E28F}" name="Crashes"/>
    <tableColumn id="9" xr3:uid="{CE2D3724-0FE4-F14C-98A9-B1FCEEA9C295}" name="Crash-free Rate"/>
    <tableColumn id="10" xr3:uid="{3D6558F9-DC96-DB4C-852A-2C811AD0CD16}" name="Umsatz"/>
    <tableColumn id="11" xr3:uid="{F0D3E968-41ED-BD43-85D7-1CB6AEC70C14}" name="Ø Bewertung"/>
    <tableColumn id="12" xr3:uid="{1564CFE4-1379-754E-9D54-0B0E39066ECB}" name="Neue Review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7E6DCF8-259D-DE49-8885-47E1897D0C1F}">
  <we:reference id="wa200010215" version="2.0.0.0" store="de-DE" storeType="OMEX"/>
  <we:alternateReferences>
    <we:reference id="wa200010215" version="2.0.0.0" store="de-DE" storeType="OMEX"/>
  </we:alternateReferences>
  <we:properties>
    <we:property name="bps.codex_control.document_id" value="&quot;6edd7536-77ac-4f2b-baef-fc8736d76d6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72FD-CEB1-3547-B581-0FF4427E850F}">
  <dimension ref="A1:H15"/>
  <sheetViews>
    <sheetView tabSelected="1" workbookViewId="0">
      <selection activeCell="I21" sqref="I21"/>
    </sheetView>
  </sheetViews>
  <sheetFormatPr baseColWidth="10" defaultRowHeight="16"/>
  <cols>
    <col min="1" max="1" width="20" customWidth="1"/>
    <col min="2" max="2" width="15" customWidth="1"/>
    <col min="3" max="3" width="37.140625" customWidth="1"/>
    <col min="4" max="4" width="20" customWidth="1"/>
    <col min="5" max="5" width="15" customWidth="1"/>
    <col min="7" max="7" width="20" customWidth="1"/>
    <col min="8" max="8" width="25" customWidth="1"/>
  </cols>
  <sheetData>
    <row r="1" spans="1:8" ht="28" customHeight="1">
      <c r="A1" s="4" t="s">
        <v>110</v>
      </c>
      <c r="B1" s="5"/>
      <c r="C1" s="5"/>
      <c r="D1" s="5"/>
      <c r="E1" s="5"/>
      <c r="F1" s="5"/>
      <c r="G1" s="5"/>
      <c r="H1" s="5"/>
    </row>
    <row r="2" spans="1:8">
      <c r="A2" s="5" t="s">
        <v>111</v>
      </c>
      <c r="B2" s="5"/>
      <c r="C2" s="5"/>
      <c r="D2" s="5"/>
      <c r="E2" s="5"/>
      <c r="F2" s="5"/>
      <c r="G2" s="5"/>
      <c r="H2" s="5"/>
    </row>
    <row r="3" spans="1:8">
      <c r="A3" s="5"/>
      <c r="B3" s="5"/>
      <c r="C3" s="5"/>
      <c r="D3" s="5"/>
      <c r="E3" s="5"/>
      <c r="F3" s="5"/>
      <c r="G3" s="5"/>
      <c r="H3" s="5"/>
    </row>
    <row r="4" spans="1:8" ht="22">
      <c r="A4" s="6" t="s">
        <v>112</v>
      </c>
      <c r="B4" s="7">
        <f>COUNTIF('To-dos'!$B$5:$B$200,"Offen")</f>
        <v>0</v>
      </c>
      <c r="C4" s="5"/>
      <c r="D4" s="8" t="s">
        <v>113</v>
      </c>
      <c r="E4" s="9">
        <f>COUNTIF('To-dos'!$B$5:$B$200,"Erledigt")</f>
        <v>26</v>
      </c>
      <c r="F4" s="5"/>
      <c r="G4" s="10" t="s">
        <v>126</v>
      </c>
      <c r="H4" s="11">
        <f>COUNTIF('To-dos'!$B$5:$B$200,"Verworfen")</f>
        <v>21</v>
      </c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12" t="s">
        <v>115</v>
      </c>
      <c r="B7" s="13" t="s">
        <v>116</v>
      </c>
      <c r="C7" s="12" t="s">
        <v>117</v>
      </c>
      <c r="D7" s="5"/>
      <c r="E7" s="5"/>
      <c r="F7" s="5"/>
      <c r="G7" s="5" t="s">
        <v>114</v>
      </c>
      <c r="H7" s="5" t="s">
        <v>127</v>
      </c>
    </row>
    <row r="8" spans="1:8">
      <c r="A8" s="5" t="s">
        <v>3</v>
      </c>
      <c r="B8" s="14" t="str">
        <f>IF(COUNT('App Store Metrics'!$B$5:$B$200)=0,"Ausstehend",SUM('App Store Metrics'!$B$5:$B$200))</f>
        <v>Ausstehend</v>
      </c>
      <c r="C8" s="5" t="s">
        <v>118</v>
      </c>
      <c r="D8" s="5"/>
      <c r="E8" s="5"/>
      <c r="F8" s="5"/>
      <c r="G8" s="5"/>
      <c r="H8" s="5"/>
    </row>
    <row r="9" spans="1:8">
      <c r="A9" s="5" t="s">
        <v>4</v>
      </c>
      <c r="B9" s="14" t="str">
        <f>IF(COUNT('App Store Metrics'!$C$5:$C$200)=0,"Ausstehend",SUM('App Store Metrics'!$C$5:$C$200))</f>
        <v>Ausstehend</v>
      </c>
      <c r="C9" s="5" t="s">
        <v>119</v>
      </c>
      <c r="D9" s="5"/>
      <c r="E9" s="5"/>
      <c r="F9" s="5"/>
      <c r="G9" s="5"/>
      <c r="H9" s="5"/>
    </row>
    <row r="10" spans="1:8">
      <c r="A10" s="5" t="s">
        <v>5</v>
      </c>
      <c r="B10" s="14" t="str">
        <f>IF(COUNT('App Store Metrics'!$D$5:$D$200)=0,"Ausstehend",SUM('App Store Metrics'!$D$5:$D$200))</f>
        <v>Ausstehend</v>
      </c>
      <c r="C10" s="5" t="s">
        <v>120</v>
      </c>
      <c r="D10" s="5"/>
      <c r="E10" s="5"/>
      <c r="F10" s="5"/>
      <c r="G10" s="5"/>
      <c r="H10" s="5"/>
    </row>
    <row r="11" spans="1:8">
      <c r="A11" s="5" t="s">
        <v>13</v>
      </c>
      <c r="B11" s="14" t="str">
        <f>IF(COUNT('App Store Metrics'!$L$5:$L$200)=0,"Ausstehend",SUM('App Store Metrics'!$L$5:$L$200))</f>
        <v>Ausstehend</v>
      </c>
      <c r="C11" s="5" t="s">
        <v>121</v>
      </c>
      <c r="D11" s="5"/>
      <c r="E11" s="5"/>
      <c r="F11" s="5"/>
      <c r="G11" s="5"/>
      <c r="H11" s="5"/>
    </row>
    <row r="12" spans="1:8">
      <c r="A12" s="5" t="s">
        <v>15</v>
      </c>
      <c r="B12" s="15">
        <f>COUNTIFS('App Store Feedback'!$A$5:$A$200,"&lt;&gt;",'App Store Feedback'!$A$5:$A$200,"&lt;&gt;Ausstehend")</f>
        <v>0</v>
      </c>
      <c r="C12" s="5" t="s">
        <v>122</v>
      </c>
      <c r="D12" s="5"/>
      <c r="E12" s="5"/>
      <c r="F12" s="5"/>
      <c r="G12" s="5"/>
      <c r="H12" s="5"/>
    </row>
    <row r="13" spans="1:8">
      <c r="A13" s="5"/>
      <c r="B13" s="5"/>
      <c r="C13" s="5"/>
      <c r="D13" s="5"/>
      <c r="E13" s="5"/>
      <c r="F13" s="5"/>
      <c r="G13" s="5"/>
      <c r="H13" s="5"/>
    </row>
    <row r="14" spans="1:8">
      <c r="A14" s="5"/>
      <c r="B14" s="5"/>
      <c r="C14" s="5"/>
      <c r="D14" s="5"/>
      <c r="E14" s="5"/>
      <c r="F14" s="5"/>
      <c r="G14" s="5"/>
      <c r="H14" s="5"/>
    </row>
    <row r="15" spans="1:8">
      <c r="A15" s="16" t="s">
        <v>123</v>
      </c>
      <c r="B15" s="17" t="s">
        <v>124</v>
      </c>
      <c r="C15" s="18"/>
      <c r="D15" s="18"/>
      <c r="E15" s="18"/>
      <c r="F15" s="18"/>
      <c r="G15" s="18"/>
      <c r="H15" s="18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ED82-9A39-1844-8B01-3A4D14368A18}">
  <sheetPr>
    <tabColor rgb="FFE88B59"/>
  </sheetPr>
  <dimension ref="A1:E51"/>
  <sheetViews>
    <sheetView workbookViewId="0">
      <selection activeCell="B26" sqref="B26"/>
    </sheetView>
  </sheetViews>
  <sheetFormatPr baseColWidth="10" defaultRowHeight="16"/>
  <cols>
    <col min="1" max="1" width="6.42578125" customWidth="1"/>
    <col min="2" max="2" width="12.140625" customWidth="1"/>
    <col min="3" max="3" width="31.42578125" customWidth="1"/>
    <col min="4" max="4" width="12.85546875" customWidth="1"/>
    <col min="5" max="5" width="48.5703125" customWidth="1"/>
  </cols>
  <sheetData>
    <row r="1" spans="1:5" ht="22" thickBot="1">
      <c r="A1" s="1" t="s">
        <v>56</v>
      </c>
    </row>
    <row r="2" spans="1:5" ht="17" thickTop="1">
      <c r="A2" t="s">
        <v>57</v>
      </c>
    </row>
    <row r="4" spans="1:5">
      <c r="A4" s="2" t="s">
        <v>58</v>
      </c>
      <c r="B4" s="2" t="s">
        <v>22</v>
      </c>
      <c r="C4" s="2" t="s">
        <v>59</v>
      </c>
      <c r="D4" s="2" t="s">
        <v>60</v>
      </c>
      <c r="E4" s="3" t="s">
        <v>61</v>
      </c>
    </row>
    <row r="5" spans="1:5">
      <c r="A5">
        <v>1</v>
      </c>
      <c r="B5" t="s">
        <v>125</v>
      </c>
      <c r="C5" t="s">
        <v>62</v>
      </c>
    </row>
    <row r="6" spans="1:5">
      <c r="A6">
        <v>2</v>
      </c>
      <c r="B6" t="s">
        <v>125</v>
      </c>
      <c r="C6" t="s">
        <v>63</v>
      </c>
    </row>
    <row r="7" spans="1:5">
      <c r="A7">
        <v>3</v>
      </c>
      <c r="B7" t="s">
        <v>125</v>
      </c>
      <c r="C7" t="s">
        <v>64</v>
      </c>
    </row>
    <row r="8" spans="1:5">
      <c r="A8">
        <v>4</v>
      </c>
      <c r="B8" t="s">
        <v>125</v>
      </c>
      <c r="C8" t="s">
        <v>65</v>
      </c>
    </row>
    <row r="9" spans="1:5">
      <c r="A9">
        <v>5</v>
      </c>
      <c r="B9" t="s">
        <v>125</v>
      </c>
      <c r="C9" t="s">
        <v>66</v>
      </c>
    </row>
    <row r="10" spans="1:5">
      <c r="A10">
        <v>6</v>
      </c>
      <c r="B10" t="s">
        <v>125</v>
      </c>
      <c r="C10" t="s">
        <v>67</v>
      </c>
    </row>
    <row r="11" spans="1:5">
      <c r="A11">
        <v>7</v>
      </c>
      <c r="B11" t="s">
        <v>125</v>
      </c>
      <c r="C11" t="s">
        <v>68</v>
      </c>
    </row>
    <row r="12" spans="1:5">
      <c r="A12">
        <v>8</v>
      </c>
      <c r="B12" t="s">
        <v>125</v>
      </c>
      <c r="C12" t="s">
        <v>69</v>
      </c>
    </row>
    <row r="13" spans="1:5">
      <c r="A13">
        <v>9</v>
      </c>
      <c r="B13" t="s">
        <v>125</v>
      </c>
      <c r="C13" t="s">
        <v>70</v>
      </c>
    </row>
    <row r="14" spans="1:5">
      <c r="A14">
        <v>10</v>
      </c>
      <c r="B14" t="s">
        <v>125</v>
      </c>
      <c r="C14" t="s">
        <v>71</v>
      </c>
    </row>
    <row r="15" spans="1:5">
      <c r="A15">
        <v>11</v>
      </c>
      <c r="B15" t="s">
        <v>125</v>
      </c>
      <c r="C15" t="s">
        <v>72</v>
      </c>
    </row>
    <row r="16" spans="1:5">
      <c r="A16">
        <v>12</v>
      </c>
      <c r="B16" t="s">
        <v>125</v>
      </c>
      <c r="C16" t="s">
        <v>73</v>
      </c>
    </row>
    <row r="17" spans="1:5">
      <c r="A17">
        <v>13</v>
      </c>
      <c r="B17" t="s">
        <v>125</v>
      </c>
      <c r="C17" t="s">
        <v>74</v>
      </c>
    </row>
    <row r="18" spans="1:5">
      <c r="A18">
        <v>14</v>
      </c>
      <c r="B18" t="s">
        <v>125</v>
      </c>
      <c r="C18" t="s">
        <v>75</v>
      </c>
    </row>
    <row r="19" spans="1:5">
      <c r="A19">
        <v>15</v>
      </c>
      <c r="B19" t="s">
        <v>125</v>
      </c>
      <c r="C19" t="s">
        <v>76</v>
      </c>
    </row>
    <row r="20" spans="1:5">
      <c r="A20">
        <v>16</v>
      </c>
      <c r="B20" t="s">
        <v>125</v>
      </c>
      <c r="C20" t="s">
        <v>77</v>
      </c>
    </row>
    <row r="21" spans="1:5">
      <c r="A21">
        <v>17</v>
      </c>
      <c r="B21" t="s">
        <v>125</v>
      </c>
      <c r="C21" t="s">
        <v>78</v>
      </c>
    </row>
    <row r="22" spans="1:5">
      <c r="A22">
        <v>18</v>
      </c>
      <c r="B22" t="s">
        <v>125</v>
      </c>
      <c r="C22" t="s">
        <v>79</v>
      </c>
    </row>
    <row r="23" spans="1:5">
      <c r="A23">
        <v>19</v>
      </c>
      <c r="B23" t="s">
        <v>125</v>
      </c>
      <c r="C23" t="s">
        <v>80</v>
      </c>
    </row>
    <row r="24" spans="1:5">
      <c r="A24">
        <v>20</v>
      </c>
      <c r="B24" t="s">
        <v>125</v>
      </c>
      <c r="C24" t="s">
        <v>81</v>
      </c>
    </row>
    <row r="25" spans="1:5">
      <c r="A25">
        <v>21</v>
      </c>
      <c r="B25" t="s">
        <v>125</v>
      </c>
      <c r="C25" t="s">
        <v>82</v>
      </c>
    </row>
    <row r="26" spans="1:5">
      <c r="A26">
        <v>22</v>
      </c>
      <c r="B26" t="s">
        <v>83</v>
      </c>
      <c r="C26" t="s">
        <v>84</v>
      </c>
      <c r="E26" t="s">
        <v>84</v>
      </c>
    </row>
    <row r="27" spans="1:5">
      <c r="A27">
        <v>23</v>
      </c>
      <c r="B27" t="s">
        <v>83</v>
      </c>
      <c r="C27" t="s">
        <v>85</v>
      </c>
      <c r="E27" t="s">
        <v>85</v>
      </c>
    </row>
    <row r="28" spans="1:5">
      <c r="A28">
        <v>24</v>
      </c>
      <c r="B28" t="s">
        <v>83</v>
      </c>
      <c r="C28" t="s">
        <v>86</v>
      </c>
      <c r="E28" t="s">
        <v>86</v>
      </c>
    </row>
    <row r="29" spans="1:5">
      <c r="A29">
        <v>25</v>
      </c>
      <c r="B29" t="s">
        <v>83</v>
      </c>
      <c r="C29" t="s">
        <v>87</v>
      </c>
      <c r="E29" t="s">
        <v>87</v>
      </c>
    </row>
    <row r="30" spans="1:5">
      <c r="A30">
        <v>26</v>
      </c>
      <c r="B30" t="s">
        <v>83</v>
      </c>
      <c r="C30" t="s">
        <v>88</v>
      </c>
      <c r="E30" t="s">
        <v>88</v>
      </c>
    </row>
    <row r="31" spans="1:5">
      <c r="A31">
        <v>27</v>
      </c>
      <c r="B31" t="s">
        <v>83</v>
      </c>
      <c r="C31" t="s">
        <v>89</v>
      </c>
      <c r="E31" t="s">
        <v>89</v>
      </c>
    </row>
    <row r="32" spans="1:5">
      <c r="A32">
        <v>28</v>
      </c>
      <c r="B32" t="s">
        <v>83</v>
      </c>
      <c r="C32" t="s">
        <v>90</v>
      </c>
      <c r="E32" t="s">
        <v>90</v>
      </c>
    </row>
    <row r="33" spans="1:5">
      <c r="A33">
        <v>29</v>
      </c>
      <c r="B33" t="s">
        <v>83</v>
      </c>
      <c r="C33" t="s">
        <v>91</v>
      </c>
      <c r="E33" t="s">
        <v>91</v>
      </c>
    </row>
    <row r="34" spans="1:5">
      <c r="A34">
        <v>30</v>
      </c>
      <c r="B34" t="s">
        <v>83</v>
      </c>
      <c r="C34" t="s">
        <v>92</v>
      </c>
      <c r="E34" t="s">
        <v>92</v>
      </c>
    </row>
    <row r="35" spans="1:5">
      <c r="A35">
        <v>31</v>
      </c>
      <c r="B35" t="s">
        <v>83</v>
      </c>
      <c r="C35" t="s">
        <v>93</v>
      </c>
      <c r="E35" t="s">
        <v>93</v>
      </c>
    </row>
    <row r="36" spans="1:5">
      <c r="A36">
        <v>32</v>
      </c>
      <c r="B36" t="s">
        <v>83</v>
      </c>
      <c r="C36" t="s">
        <v>94</v>
      </c>
      <c r="E36" t="s">
        <v>94</v>
      </c>
    </row>
    <row r="37" spans="1:5">
      <c r="A37">
        <v>33</v>
      </c>
      <c r="B37" t="s">
        <v>83</v>
      </c>
      <c r="C37" t="s">
        <v>95</v>
      </c>
      <c r="E37" t="s">
        <v>95</v>
      </c>
    </row>
    <row r="38" spans="1:5">
      <c r="A38">
        <v>34</v>
      </c>
      <c r="B38" t="s">
        <v>83</v>
      </c>
      <c r="C38" t="s">
        <v>96</v>
      </c>
      <c r="E38" t="s">
        <v>96</v>
      </c>
    </row>
    <row r="39" spans="1:5">
      <c r="A39">
        <v>35</v>
      </c>
      <c r="B39" t="s">
        <v>83</v>
      </c>
      <c r="C39" t="s">
        <v>97</v>
      </c>
      <c r="E39" t="s">
        <v>97</v>
      </c>
    </row>
    <row r="40" spans="1:5">
      <c r="A40">
        <v>36</v>
      </c>
      <c r="B40" t="s">
        <v>83</v>
      </c>
      <c r="C40" t="s">
        <v>98</v>
      </c>
      <c r="E40" t="s">
        <v>98</v>
      </c>
    </row>
    <row r="41" spans="1:5">
      <c r="A41">
        <v>37</v>
      </c>
      <c r="B41" t="s">
        <v>83</v>
      </c>
      <c r="C41" t="s">
        <v>99</v>
      </c>
      <c r="E41" t="s">
        <v>99</v>
      </c>
    </row>
    <row r="42" spans="1:5">
      <c r="A42">
        <v>38</v>
      </c>
      <c r="B42" t="s">
        <v>83</v>
      </c>
      <c r="C42" t="s">
        <v>100</v>
      </c>
      <c r="E42" t="s">
        <v>100</v>
      </c>
    </row>
    <row r="43" spans="1:5">
      <c r="A43">
        <v>39</v>
      </c>
      <c r="B43" t="s">
        <v>83</v>
      </c>
      <c r="C43" t="s">
        <v>101</v>
      </c>
      <c r="E43" t="s">
        <v>101</v>
      </c>
    </row>
    <row r="44" spans="1:5">
      <c r="A44">
        <v>40</v>
      </c>
      <c r="B44" t="s">
        <v>83</v>
      </c>
      <c r="C44" t="s">
        <v>102</v>
      </c>
      <c r="E44" t="s">
        <v>102</v>
      </c>
    </row>
    <row r="45" spans="1:5">
      <c r="A45">
        <v>41</v>
      </c>
      <c r="B45" t="s">
        <v>83</v>
      </c>
      <c r="C45" t="s">
        <v>103</v>
      </c>
      <c r="E45" t="s">
        <v>103</v>
      </c>
    </row>
    <row r="46" spans="1:5">
      <c r="A46">
        <v>42</v>
      </c>
      <c r="B46" t="s">
        <v>83</v>
      </c>
      <c r="C46" t="s">
        <v>104</v>
      </c>
      <c r="E46" t="s">
        <v>104</v>
      </c>
    </row>
    <row r="47" spans="1:5">
      <c r="A47">
        <v>43</v>
      </c>
      <c r="B47" t="s">
        <v>83</v>
      </c>
      <c r="C47" t="s">
        <v>105</v>
      </c>
      <c r="E47" t="s">
        <v>105</v>
      </c>
    </row>
    <row r="48" spans="1:5">
      <c r="A48">
        <v>44</v>
      </c>
      <c r="B48" t="s">
        <v>83</v>
      </c>
      <c r="C48" t="s">
        <v>106</v>
      </c>
      <c r="E48" t="s">
        <v>106</v>
      </c>
    </row>
    <row r="49" spans="1:5">
      <c r="A49">
        <v>45</v>
      </c>
      <c r="B49" t="s">
        <v>83</v>
      </c>
      <c r="C49" t="s">
        <v>107</v>
      </c>
      <c r="E49" t="s">
        <v>107</v>
      </c>
    </row>
    <row r="50" spans="1:5">
      <c r="A50">
        <v>46</v>
      </c>
      <c r="B50" t="s">
        <v>83</v>
      </c>
      <c r="C50" t="s">
        <v>108</v>
      </c>
      <c r="E50" t="s">
        <v>108</v>
      </c>
    </row>
    <row r="51" spans="1:5">
      <c r="A51">
        <v>47</v>
      </c>
      <c r="B51" t="s">
        <v>83</v>
      </c>
      <c r="C51" t="s">
        <v>109</v>
      </c>
      <c r="E51" t="s">
        <v>109</v>
      </c>
    </row>
  </sheetData>
  <dataValidations count="1">
    <dataValidation type="list" allowBlank="1" showInputMessage="1" showErrorMessage="1" promptTitle="Status" prompt="Wähle Offen, Erledigt oder Verworfen." sqref="B5:B200" xr:uid="{BFAE9A95-B87F-5A45-8498-95F00DD7EF05}">
      <formula1>"Offen,Erledigt,Verworfen"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8ACE-E111-E449-809D-B5449659EA3A}">
  <sheetPr>
    <tabColor rgb="FF4E78B8"/>
  </sheetPr>
  <dimension ref="A1:C17"/>
  <sheetViews>
    <sheetView workbookViewId="0">
      <selection activeCell="I21" sqref="I21"/>
    </sheetView>
  </sheetViews>
  <sheetFormatPr baseColWidth="10" defaultRowHeight="16"/>
  <cols>
    <col min="1" max="1" width="15.7109375" customWidth="1"/>
    <col min="2" max="2" width="68.5703125" customWidth="1"/>
    <col min="3" max="3" width="18.5703125" customWidth="1"/>
  </cols>
  <sheetData>
    <row r="1" spans="1:3" ht="22" thickBot="1">
      <c r="A1" s="1" t="s">
        <v>24</v>
      </c>
    </row>
    <row r="2" spans="1:3" ht="17" thickTop="1">
      <c r="A2" t="s">
        <v>25</v>
      </c>
    </row>
    <row r="4" spans="1:3">
      <c r="A4" s="2" t="s">
        <v>2</v>
      </c>
      <c r="B4" s="2" t="s">
        <v>26</v>
      </c>
      <c r="C4" s="3" t="s">
        <v>27</v>
      </c>
    </row>
    <row r="5" spans="1:3">
      <c r="A5" t="s">
        <v>28</v>
      </c>
      <c r="B5" t="s">
        <v>29</v>
      </c>
      <c r="C5" t="s">
        <v>30</v>
      </c>
    </row>
    <row r="6" spans="1:3">
      <c r="A6" t="s">
        <v>31</v>
      </c>
      <c r="B6" t="s">
        <v>32</v>
      </c>
      <c r="C6" t="s">
        <v>30</v>
      </c>
    </row>
    <row r="7" spans="1:3">
      <c r="A7" t="s">
        <v>33</v>
      </c>
      <c r="B7" t="s">
        <v>34</v>
      </c>
      <c r="C7" t="s">
        <v>30</v>
      </c>
    </row>
    <row r="8" spans="1:3">
      <c r="A8" t="s">
        <v>35</v>
      </c>
      <c r="B8" t="s">
        <v>36</v>
      </c>
      <c r="C8" t="s">
        <v>30</v>
      </c>
    </row>
    <row r="9" spans="1:3">
      <c r="A9" t="s">
        <v>37</v>
      </c>
      <c r="B9" t="s">
        <v>38</v>
      </c>
      <c r="C9" t="s">
        <v>30</v>
      </c>
    </row>
    <row r="10" spans="1:3">
      <c r="A10" t="s">
        <v>39</v>
      </c>
      <c r="B10" t="s">
        <v>40</v>
      </c>
      <c r="C10" t="s">
        <v>30</v>
      </c>
    </row>
    <row r="11" spans="1:3">
      <c r="A11" t="s">
        <v>41</v>
      </c>
      <c r="B11" t="s">
        <v>42</v>
      </c>
      <c r="C11" t="s">
        <v>30</v>
      </c>
    </row>
    <row r="12" spans="1:3">
      <c r="A12" t="s">
        <v>43</v>
      </c>
      <c r="B12" t="s">
        <v>44</v>
      </c>
      <c r="C12" t="s">
        <v>30</v>
      </c>
    </row>
    <row r="13" spans="1:3">
      <c r="A13" t="s">
        <v>45</v>
      </c>
      <c r="B13" t="s">
        <v>46</v>
      </c>
      <c r="C13" t="s">
        <v>30</v>
      </c>
    </row>
    <row r="14" spans="1:3">
      <c r="A14" t="s">
        <v>47</v>
      </c>
      <c r="B14" t="s">
        <v>48</v>
      </c>
      <c r="C14" t="s">
        <v>30</v>
      </c>
    </row>
    <row r="15" spans="1:3">
      <c r="A15" t="s">
        <v>49</v>
      </c>
      <c r="B15" t="s">
        <v>50</v>
      </c>
      <c r="C15" t="s">
        <v>30</v>
      </c>
    </row>
    <row r="16" spans="1:3">
      <c r="A16" t="s">
        <v>51</v>
      </c>
      <c r="B16" t="s">
        <v>52</v>
      </c>
      <c r="C16" t="s">
        <v>30</v>
      </c>
    </row>
    <row r="17" spans="1:3">
      <c r="A17" t="s">
        <v>53</v>
      </c>
      <c r="B17" t="s">
        <v>54</v>
      </c>
      <c r="C17" t="s">
        <v>55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2919-E44A-9640-9632-77EDD1A45F3E}">
  <sheetPr>
    <tabColor rgb="FFF4B942"/>
  </sheetPr>
  <dimension ref="A1:H5"/>
  <sheetViews>
    <sheetView workbookViewId="0">
      <selection activeCell="I21" sqref="I21"/>
    </sheetView>
  </sheetViews>
  <sheetFormatPr baseColWidth="10" defaultRowHeight="16"/>
  <cols>
    <col min="1" max="1" width="11.42578125" customWidth="1"/>
    <col min="2" max="4" width="10" customWidth="1"/>
    <col min="5" max="5" width="15.7109375" customWidth="1"/>
    <col min="6" max="6" width="47.140625" customWidth="1"/>
    <col min="7" max="7" width="14.28515625" customWidth="1"/>
    <col min="8" max="8" width="31.42578125" customWidth="1"/>
  </cols>
  <sheetData>
    <row r="1" spans="1:8" ht="22" thickBot="1">
      <c r="A1" s="1" t="s">
        <v>15</v>
      </c>
    </row>
    <row r="2" spans="1:8" ht="17" thickTop="1">
      <c r="A2" t="s">
        <v>16</v>
      </c>
    </row>
    <row r="4" spans="1:8">
      <c r="A4" s="2" t="s">
        <v>2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3" t="s">
        <v>23</v>
      </c>
    </row>
    <row r="5" spans="1:8">
      <c r="A5" t="s">
        <v>14</v>
      </c>
      <c r="F5" t="s">
        <v>129</v>
      </c>
      <c r="G5" t="s">
        <v>130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AE44-0C99-7C45-BF88-0F3332275E1E}">
  <sheetPr>
    <tabColor rgb="FF4CA47A"/>
  </sheetPr>
  <dimension ref="A1:L5"/>
  <sheetViews>
    <sheetView workbookViewId="0">
      <selection activeCell="I21" sqref="I21"/>
    </sheetView>
  </sheetViews>
  <sheetFormatPr baseColWidth="10" defaultRowHeight="16"/>
  <cols>
    <col min="1" max="1" width="12.85546875" customWidth="1"/>
    <col min="2" max="2" width="10.7109375" customWidth="1"/>
    <col min="3" max="3" width="12.140625" customWidth="1"/>
    <col min="4" max="4" width="17.85546875" customWidth="1"/>
    <col min="5" max="5" width="15" customWidth="1"/>
    <col min="7" max="7" width="14.28515625" customWidth="1"/>
    <col min="8" max="8" width="10" customWidth="1"/>
    <col min="9" max="9" width="15" customWidth="1"/>
    <col min="11" max="11" width="11.42578125" customWidth="1"/>
    <col min="12" max="12" width="12.140625" customWidth="1"/>
  </cols>
  <sheetData>
    <row r="1" spans="1:12" ht="22" thickBot="1">
      <c r="A1" s="1" t="s">
        <v>0</v>
      </c>
    </row>
    <row r="2" spans="1:12" ht="17" thickTop="1">
      <c r="A2" t="s">
        <v>1</v>
      </c>
    </row>
    <row r="4" spans="1:1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3" t="s">
        <v>13</v>
      </c>
    </row>
    <row r="5" spans="1:12">
      <c r="A5" t="s">
        <v>128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Dashboard</vt:lpstr>
      <vt:lpstr>To-dos</vt:lpstr>
      <vt:lpstr>Tagebuch</vt:lpstr>
      <vt:lpstr>App Store Feedback</vt:lpstr>
      <vt:lpstr>App Store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Rämer</dc:creator>
  <cp:lastModifiedBy>Philipp Rämer</cp:lastModifiedBy>
  <dcterms:created xsi:type="dcterms:W3CDTF">2026-07-17T05:42:31Z</dcterms:created>
  <dcterms:modified xsi:type="dcterms:W3CDTF">2026-07-17T07:13:52Z</dcterms:modified>
</cp:coreProperties>
</file>